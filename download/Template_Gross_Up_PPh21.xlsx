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Kalkulator" sheetId="1" state="visible" r:id="rId3"/>
    <sheet name="Referensi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<sst xmlns="http://schemas.openxmlformats.org/spreadsheetml/2006/main" count="92" uniqueCount="91">
  <si>
    <t xml:space="preserve">TEMPLATE GROSS-UP PPh 21 TAHUNAN</t>
  </si>
  <si>
    <t xml:space="preserve">PPh dibebankan oleh Pemberi Kerja (Tax Gross-Up Method)</t>
  </si>
  <si>
    <t xml:space="preserve">DATA INPUT</t>
  </si>
  <si>
    <t xml:space="preserve">Nama Karyawan</t>
  </si>
  <si>
    <t xml:space="preserve">Status PTKP (TK/K)</t>
  </si>
  <si>
    <t xml:space="preserve">TK</t>
  </si>
  <si>
    <t xml:space="preserve">TK = Tidak Kawin, K = Kawin</t>
  </si>
  <si>
    <t xml:space="preserve">Jumlah Tanggungan (0-3)</t>
  </si>
  <si>
    <t xml:space="preserve">Maksimal 3 tanggungan</t>
  </si>
  <si>
    <t xml:space="preserve">Penghasilan Bersih (Net) / Tahun (Rp)</t>
  </si>
  <si>
    <t xml:space="preserve">Take-home pay setelah PPh</t>
  </si>
  <si>
    <t xml:space="preserve">Tarif Biaya Jabatan (%)</t>
  </si>
  <si>
    <t xml:space="preserve">Default 5%, maks Rp 6.000.000/thn</t>
  </si>
  <si>
    <t xml:space="preserve">Iuran Pensiun Karyawan / Tahun (Rp)</t>
  </si>
  <si>
    <t xml:space="preserve">Opsional, mengurangi PKP</t>
  </si>
  <si>
    <t xml:space="preserve">Iuran BPJS Kesehatan Karyawan / Tahun (Rp)</t>
  </si>
  <si>
    <t xml:space="preserve">PERHITUNGAN PTKP</t>
  </si>
  <si>
    <t xml:space="preserve">Dasar PTKP</t>
  </si>
  <si>
    <t xml:space="preserve">Tambahan Tanggungan</t>
  </si>
  <si>
    <t xml:space="preserve">PTKP Total / Tahun</t>
  </si>
  <si>
    <t xml:space="preserve">PROSES ITERASI GROSS-UP</t>
  </si>
  <si>
    <t xml:space="preserve">Iterasi</t>
  </si>
  <si>
    <t xml:space="preserve">Penghasilan Bruto (Rp)</t>
  </si>
  <si>
    <t xml:space="preserve">Biaya Jabatan (Rp)</t>
  </si>
  <si>
    <t xml:space="preserve">PKP (Rp)</t>
  </si>
  <si>
    <t xml:space="preserve">PPh 21 (Rp)</t>
  </si>
  <si>
    <t xml:space="preserve">Iterasi 0</t>
  </si>
  <si>
    <t xml:space="preserve">Iterasi 1</t>
  </si>
  <si>
    <t xml:space="preserve">Iterasi 2</t>
  </si>
  <si>
    <t xml:space="preserve">Iterasi 3</t>
  </si>
  <si>
    <t xml:space="preserve">Iterasi 4</t>
  </si>
  <si>
    <t xml:space="preserve">Iterasi 5</t>
  </si>
  <si>
    <t xml:space="preserve">Iterasi 6</t>
  </si>
  <si>
    <t xml:space="preserve">Iterasi 7</t>
  </si>
  <si>
    <t xml:space="preserve">Iterasi 8</t>
  </si>
  <si>
    <t xml:space="preserve">Iterasi 9</t>
  </si>
  <si>
    <t xml:space="preserve">Iterasi 10</t>
  </si>
  <si>
    <t xml:space="preserve">Iterasi 11</t>
  </si>
  <si>
    <t xml:space="preserve">HASIL AKHIR</t>
  </si>
  <si>
    <t xml:space="preserve">Rincian Perhitungan</t>
  </si>
  <si>
    <t xml:space="preserve">Penghasilan Bruto (Gross) / Tahun</t>
  </si>
  <si>
    <t xml:space="preserve">PTKP</t>
  </si>
  <si>
    <t xml:space="preserve">Biaya Jabatan</t>
  </si>
  <si>
    <t xml:space="preserve">Iuran Pensiun Karyawan</t>
  </si>
  <si>
    <t xml:space="preserve">Iuran BPJS Kesehatan Karyawan</t>
  </si>
  <si>
    <t xml:space="preserve">PKP (Penghasilan Kena Pajak)</t>
  </si>
  <si>
    <t xml:space="preserve">Ringkasan</t>
  </si>
  <si>
    <t xml:space="preserve">PPh 21 Terutang / Tahun</t>
  </si>
  <si>
    <t xml:space="preserve">Effective Tax Rate</t>
  </si>
  <si>
    <t xml:space="preserve">Penghasilan Bersih (Net) / Tahun</t>
  </si>
  <si>
    <t xml:space="preserve">Penghasilan Bruto / Bulan</t>
  </si>
  <si>
    <t xml:space="preserve">PPh 21 / Bulan</t>
  </si>
  <si>
    <t xml:space="preserve">Penghasilan Bersih (Net) / Bulan</t>
  </si>
  <si>
    <t xml:space="preserve">Total Biaya Majikan / Tahun</t>
  </si>
  <si>
    <t xml:space="preserve">Total Biaya Majikan / Bulan</t>
  </si>
  <si>
    <t xml:space="preserve">Verifikasi (Net Hasil = Net Input)</t>
  </si>
  <si>
    <t xml:space="preserve">TABEL REFERENSI PPh 21</t>
  </si>
  <si>
    <t xml:space="preserve">TABEL PTKP (TAHUNAN)</t>
  </si>
  <si>
    <t xml:space="preserve">TARIF PROGRESIF PPh 21</t>
  </si>
  <si>
    <t xml:space="preserve">Status</t>
  </si>
  <si>
    <t xml:space="preserve">PTKP (Rp/Tahun)</t>
  </si>
  <si>
    <t xml:space="preserve">Lapisan PKP (Rp/Tahun)</t>
  </si>
  <si>
    <t xml:space="preserve">Tarif</t>
  </si>
  <si>
    <t xml:space="preserve">TK/0</t>
  </si>
  <si>
    <t xml:space="preserve">0 - 60.000.000</t>
  </si>
  <si>
    <t xml:space="preserve">5%</t>
  </si>
  <si>
    <t xml:space="preserve">TK/1</t>
  </si>
  <si>
    <t xml:space="preserve">60.000.000 - 250.000.000</t>
  </si>
  <si>
    <t xml:space="preserve">15%</t>
  </si>
  <si>
    <t xml:space="preserve">TK/2</t>
  </si>
  <si>
    <t xml:space="preserve">250.000.000 - 500.000.000</t>
  </si>
  <si>
    <t xml:space="preserve">25%</t>
  </si>
  <si>
    <t xml:space="preserve">TK/3</t>
  </si>
  <si>
    <t xml:space="preserve">500.000.000 - 5.000.000.000</t>
  </si>
  <si>
    <t xml:space="preserve">30%</t>
  </si>
  <si>
    <t xml:space="preserve">K/0</t>
  </si>
  <si>
    <t xml:space="preserve">&gt; 5.000.000.000</t>
  </si>
  <si>
    <t xml:space="preserve">35%</t>
  </si>
  <si>
    <t xml:space="preserve">K/1</t>
  </si>
  <si>
    <t xml:space="preserve">K/2</t>
  </si>
  <si>
    <t xml:space="preserve">K/3</t>
  </si>
  <si>
    <t xml:space="preserve">Catatan Penting:</t>
  </si>
  <si>
    <t xml:space="preserve">1. Biaya Jabatan: 5% dari penghasilan bruto, maks Rp 500.000/bulan (Rp 6.000.000/tahun)</t>
  </si>
  <si>
    <t xml:space="preserve">Keterangan:</t>
  </si>
  <si>
    <t xml:space="preserve">2. PTKP dan tarif berdasarkan UU HPP No. 7 Tahun 2021 (berlaku sejak 2022)</t>
  </si>
  <si>
    <t xml:space="preserve">TK = Tidak Kawin  |  K = Kawin</t>
  </si>
  <si>
    <t xml:space="preserve">3. Iuran pensiun/BPJS yang ditanggung karyawan mengurangi PKP</t>
  </si>
  <si>
    <t xml:space="preserve">Dasar PTKP TK: Rp 54.000.000 | K: Rp 58.500.000</t>
  </si>
  <si>
    <t xml:space="preserve">4. Gross-up: PPh dibebankan oleh pemberi kerja, bukan dipotong dari gaji karyawan</t>
  </si>
  <si>
    <t xml:space="preserve">Tambahan per tanggungan: Rp 4.500.000</t>
  </si>
  <si>
    <t xml:space="preserve">5. Formula iterasi: Gross = Net + PPh, hingga konvergen (biasanya 4-6 iterasi)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</si>
</sst>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0%"/>
    <numFmt numFmtId="167" formatCode="0.00%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000000"/>
      <name val="Times New Roman"/>
      <family val="0"/>
      <charset val="1"/>
    </font>
    <font>
      <i val="true"/>
      <sz val="11"/>
      <color rgb="FF666666"/>
      <name val="Times New Roman"/>
      <family val="0"/>
      <charset val="1"/>
    </font>
    <font>
      <b val="true"/>
      <sz val="11"/>
      <color rgb="FFFFFFFF"/>
      <name val="Times New Roman"/>
      <family val="0"/>
      <charset val="1"/>
    </font>
    <font>
      <sz val="11"/>
      <color rgb="FF000000"/>
      <name val="Times New Roman"/>
      <family val="0"/>
      <charset val="1"/>
    </font>
    <font>
      <sz val="11"/>
      <color rgb="FF0000FF"/>
      <name val="Times New Roman"/>
      <family val="0"/>
      <charset val="1"/>
    </font>
    <font>
      <i val="true"/>
      <sz val="10"/>
      <color rgb="FF666666"/>
      <name val="Times New Roman"/>
      <family val="0"/>
      <charset val="1"/>
    </font>
    <font>
      <b val="true"/>
      <sz val="11"/>
      <color rgb="FF000000"/>
      <name val="Times New Roman"/>
      <family val="0"/>
      <charset val="1"/>
    </font>
    <font>
      <b val="true"/>
      <sz val="10"/>
      <color rgb="FFFFFFFF"/>
      <name val="Times New Roman"/>
      <family val="0"/>
      <charset val="1"/>
    </font>
    <font>
      <sz val="10"/>
      <color rgb="FF333333"/>
      <name val="Times New Roman"/>
      <family val="0"/>
      <charset val="1"/>
    </font>
    <font>
      <b val="true"/>
      <sz val="13"/>
      <color rgb="FF1B3F66"/>
      <name val="Times New Roman"/>
      <family val="0"/>
      <charset val="1"/>
    </font>
    <font>
      <b val="true"/>
      <sz val="11"/>
      <color rgb="FF008000"/>
      <name val="Times New Roman"/>
      <family val="0"/>
      <charset val="1"/>
    </font>
    <font>
      <b val="true"/>
      <sz val="10"/>
      <color rgb="FF333333"/>
      <name val="Times New Roman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B3F66"/>
        <bgColor rgb="FF333333"/>
      </patternFill>
    </fill>
    <fill>
      <patternFill patternType="solid">
        <fgColor rgb="FFFFF9E6"/>
        <bgColor rgb="FFFFFFFF"/>
      </patternFill>
    </fill>
    <fill>
      <patternFill patternType="solid">
        <fgColor rgb="FFE8F4FD"/>
        <bgColor rgb="FFE9E9E9"/>
      </patternFill>
    </fill>
    <fill>
      <patternFill patternType="solid">
        <fgColor rgb="FF2E5C8A"/>
        <bgColor rgb="FF1B3F66"/>
      </patternFill>
    </fill>
    <fill>
      <patternFill patternType="solid">
        <fgColor rgb="FFFFFFFF"/>
        <bgColor rgb="FFFFF9E6"/>
      </patternFill>
    </fill>
    <fill>
      <patternFill patternType="solid">
        <fgColor rgb="FFE9E9E9"/>
        <bgColor rgb="FFE8F4FD"/>
      </patternFill>
    </fill>
    <fill>
      <patternFill patternType="solid">
        <fgColor rgb="FFD6E4F0"/>
        <bgColor rgb="FFE9E9E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8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8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0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0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9E6"/>
      <rgbColor rgb="FFE8F4FD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9E9E9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B3F66"/>
      <rgbColor rgb="FF339966"/>
      <rgbColor rgb="FF003300"/>
      <rgbColor rgb="FF333300"/>
      <rgbColor rgb="FF993300"/>
      <rgbColor rgb="FF993366"/>
      <rgbColor rgb="FF2E5C8A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F5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2"/>
    <col collapsed="false" customWidth="true" hidden="false" outlineLevel="0" max="5" min="3" style="0" width="28"/>
    <col collapsed="false" customWidth="true" hidden="false" outlineLevel="0" max="6" min="6" style="0" width="24"/>
  </cols>
  <sheetData>
    <row r="2" customFormat="false" ht="34.5" hidden="false" customHeight="tru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25.5" hidden="false" customHeight="true" outlineLevel="0" collapsed="false">
      <c r="B5" s="3" t="s">
        <v>2</v>
      </c>
      <c r="C5" s="3"/>
    </row>
    <row r="6" customFormat="false" ht="15" hidden="false" customHeight="false" outlineLevel="0" collapsed="false">
      <c r="B6" s="4" t="s">
        <v>3</v>
      </c>
      <c r="C6" s="5"/>
    </row>
    <row r="7" customFormat="false" ht="15" hidden="false" customHeight="false" outlineLevel="0" collapsed="false">
      <c r="B7" s="4" t="s">
        <v>4</v>
      </c>
      <c r="C7" s="5" t="s">
        <v>5</v>
      </c>
      <c r="D7" s="6" t="s">
        <v>6</v>
      </c>
    </row>
    <row r="8" customFormat="false" ht="15" hidden="false" customHeight="false" outlineLevel="0" collapsed="false">
      <c r="B8" s="4" t="s">
        <v>7</v>
      </c>
      <c r="C8" s="5" t="n">
        <v>0</v>
      </c>
      <c r="D8" s="6" t="s">
        <v>8</v>
      </c>
    </row>
    <row r="9" customFormat="false" ht="15" hidden="false" customHeight="false" outlineLevel="0" collapsed="false">
      <c r="B9" s="4" t="s">
        <v>9</v>
      </c>
      <c r="C9" s="7" t="n">
        <v>120000000</v>
      </c>
      <c r="D9" s="6" t="s">
        <v>10</v>
      </c>
    </row>
    <row r="10" customFormat="false" ht="15" hidden="false" customHeight="false" outlineLevel="0" collapsed="false">
      <c r="B10" s="4" t="s">
        <v>11</v>
      </c>
      <c r="C10" s="8" t="n">
        <v>0.05</v>
      </c>
      <c r="D10" s="6" t="s">
        <v>12</v>
      </c>
    </row>
    <row r="11" customFormat="false" ht="15" hidden="false" customHeight="false" outlineLevel="0" collapsed="false">
      <c r="B11" s="4" t="s">
        <v>13</v>
      </c>
      <c r="C11" s="7" t="n">
        <v>0</v>
      </c>
      <c r="D11" s="6" t="s">
        <v>14</v>
      </c>
    </row>
    <row r="12" customFormat="false" ht="15" hidden="false" customHeight="false" outlineLevel="0" collapsed="false">
      <c r="B12" s="4" t="s">
        <v>15</v>
      </c>
      <c r="C12" s="7" t="n">
        <v>0</v>
      </c>
      <c r="D12" s="6" t="s">
        <v>14</v>
      </c>
    </row>
    <row r="14" customFormat="false" ht="25.5" hidden="false" customHeight="true" outlineLevel="0" collapsed="false">
      <c r="B14" s="3" t="s">
        <v>16</v>
      </c>
      <c r="C14" s="3"/>
    </row>
    <row r="15" customFormat="false" ht="15" hidden="false" customHeight="false" outlineLevel="0" collapsed="false">
      <c r="B15" s="9" t="s">
        <v>17</v>
      </c>
      <c r="C15" s="10" t="n">
        <f aca="false">IF(C7="TK",54000000,58500000)</f>
        <v>54000000</v>
      </c>
    </row>
    <row r="16" customFormat="false" ht="15" hidden="false" customHeight="false" outlineLevel="0" collapsed="false">
      <c r="B16" s="9" t="s">
        <v>18</v>
      </c>
      <c r="C16" s="10" t="n">
        <f aca="false">C8*4500000</f>
        <v>0</v>
      </c>
    </row>
    <row r="17" customFormat="false" ht="15" hidden="false" customHeight="false" outlineLevel="0" collapsed="false">
      <c r="B17" s="11" t="s">
        <v>19</v>
      </c>
      <c r="C17" s="12" t="n">
        <f aca="false">C15+C16</f>
        <v>54000000</v>
      </c>
    </row>
    <row r="19" customFormat="false" ht="25.5" hidden="false" customHeight="true" outlineLevel="0" collapsed="false">
      <c r="B19" s="3" t="s">
        <v>20</v>
      </c>
      <c r="C19" s="3"/>
      <c r="D19" s="3"/>
      <c r="E19" s="3"/>
      <c r="F19" s="3"/>
    </row>
    <row r="20" customFormat="false" ht="15" hidden="false" customHeight="false" outlineLevel="0" collapsed="false">
      <c r="B20" s="13" t="s">
        <v>21</v>
      </c>
      <c r="C20" s="13" t="s">
        <v>22</v>
      </c>
      <c r="D20" s="13" t="s">
        <v>23</v>
      </c>
      <c r="E20" s="13" t="s">
        <v>24</v>
      </c>
      <c r="F20" s="13" t="s">
        <v>25</v>
      </c>
    </row>
    <row r="21" customFormat="false" ht="15" hidden="false" customHeight="false" outlineLevel="0" collapsed="false">
      <c r="B21" s="14" t="s">
        <v>26</v>
      </c>
      <c r="C21" s="15" t="n">
        <f aca="false">C9</f>
        <v>120000000</v>
      </c>
      <c r="D21" s="15" t="n">
        <f aca="false">MIN(C21*$C$10,6000000)</f>
        <v>6000000</v>
      </c>
      <c r="E21" s="15" t="n">
        <f aca="false">MAX(C21-D21-$C$17-$C$11-$C$12,0)</f>
        <v>60000000</v>
      </c>
      <c r="F21" s="15" t="n">
        <f aca="false">IF(E21&lt;=0,0,MIN(E21,60000000)*0.05+MAX(MIN(E21-60000000,190000000),0)*0.15+MAX(MIN(E21-250000000,250000000),0)*0.25+MAX(MIN(E21-500000000,4500000000),0)*0.3+MAX(E21-5000000000,0)*0.35)</f>
        <v>3000000</v>
      </c>
    </row>
    <row r="22" customFormat="false" ht="15" hidden="false" customHeight="false" outlineLevel="0" collapsed="false">
      <c r="B22" s="16" t="s">
        <v>27</v>
      </c>
      <c r="C22" s="17" t="n">
        <f aca="false">$C$9+F21</f>
        <v>123000000</v>
      </c>
      <c r="D22" s="17" t="n">
        <f aca="false">MIN(C22*$C$10,6000000)</f>
        <v>6000000</v>
      </c>
      <c r="E22" s="17" t="n">
        <f aca="false">MAX(C22-D22-$C$17-$C$11-$C$12,0)</f>
        <v>63000000</v>
      </c>
      <c r="F22" s="17" t="n">
        <f aca="false">IF(E22&lt;=0,0,MIN(E22,60000000)*0.05+MAX(MIN(E22-60000000,190000000),0)*0.15+MAX(MIN(E22-250000000,250000000),0)*0.25+MAX(MIN(E22-500000000,4500000000),0)*0.3+MAX(E22-5000000000,0)*0.35)</f>
        <v>3450000</v>
      </c>
    </row>
    <row r="23" customFormat="false" ht="15" hidden="false" customHeight="false" outlineLevel="0" collapsed="false">
      <c r="B23" s="14" t="s">
        <v>28</v>
      </c>
      <c r="C23" s="15" t="n">
        <f aca="false">$C$9+F22</f>
        <v>123450000</v>
      </c>
      <c r="D23" s="15" t="n">
        <f aca="false">MIN(C23*$C$10,6000000)</f>
        <v>6000000</v>
      </c>
      <c r="E23" s="15" t="n">
        <f aca="false">MAX(C23-D23-$C$17-$C$11-$C$12,0)</f>
        <v>63450000</v>
      </c>
      <c r="F23" s="15" t="n">
        <f aca="false">IF(E23&lt;=0,0,MIN(E23,60000000)*0.05+MAX(MIN(E23-60000000,190000000),0)*0.15+MAX(MIN(E23-250000000,250000000),0)*0.25+MAX(MIN(E23-500000000,4500000000),0)*0.3+MAX(E23-5000000000,0)*0.35)</f>
        <v>3517500</v>
      </c>
    </row>
    <row r="24" customFormat="false" ht="15" hidden="false" customHeight="false" outlineLevel="0" collapsed="false">
      <c r="B24" s="16" t="s">
        <v>29</v>
      </c>
      <c r="C24" s="17" t="n">
        <f aca="false">$C$9+F23</f>
        <v>123517500</v>
      </c>
      <c r="D24" s="17" t="n">
        <f aca="false">MIN(C24*$C$10,6000000)</f>
        <v>6000000</v>
      </c>
      <c r="E24" s="17" t="n">
        <f aca="false">MAX(C24-D24-$C$17-$C$11-$C$12,0)</f>
        <v>63517500</v>
      </c>
      <c r="F24" s="17" t="n">
        <f aca="false">IF(E24&lt;=0,0,MIN(E24,60000000)*0.05+MAX(MIN(E24-60000000,190000000),0)*0.15+MAX(MIN(E24-250000000,250000000),0)*0.25+MAX(MIN(E24-500000000,4500000000),0)*0.3+MAX(E24-5000000000,0)*0.35)</f>
        <v>3527625</v>
      </c>
    </row>
    <row r="25" customFormat="false" ht="15" hidden="false" customHeight="false" outlineLevel="0" collapsed="false">
      <c r="B25" s="14" t="s">
        <v>30</v>
      </c>
      <c r="C25" s="15" t="n">
        <f aca="false">$C$9+F24</f>
        <v>123527625</v>
      </c>
      <c r="D25" s="15" t="n">
        <f aca="false">MIN(C25*$C$10,6000000)</f>
        <v>6000000</v>
      </c>
      <c r="E25" s="15" t="n">
        <f aca="false">MAX(C25-D25-$C$17-$C$11-$C$12,0)</f>
        <v>63527625</v>
      </c>
      <c r="F25" s="15" t="n">
        <f aca="false">IF(E25&lt;=0,0,MIN(E25,60000000)*0.05+MAX(MIN(E25-60000000,190000000),0)*0.15+MAX(MIN(E25-250000000,250000000),0)*0.25+MAX(MIN(E25-500000000,4500000000),0)*0.3+MAX(E25-5000000000,0)*0.35)</f>
        <v>3529143.75</v>
      </c>
    </row>
    <row r="26" customFormat="false" ht="15" hidden="false" customHeight="false" outlineLevel="0" collapsed="false">
      <c r="B26" s="16" t="s">
        <v>31</v>
      </c>
      <c r="C26" s="17" t="n">
        <f aca="false">$C$9+F25</f>
        <v>123529143.75</v>
      </c>
      <c r="D26" s="17" t="n">
        <f aca="false">MIN(C26*$C$10,6000000)</f>
        <v>6000000</v>
      </c>
      <c r="E26" s="17" t="n">
        <f aca="false">MAX(C26-D26-$C$17-$C$11-$C$12,0)</f>
        <v>63529143.75</v>
      </c>
      <c r="F26" s="17" t="n">
        <f aca="false">IF(E26&lt;=0,0,MIN(E26,60000000)*0.05+MAX(MIN(E26-60000000,190000000),0)*0.15+MAX(MIN(E26-250000000,250000000),0)*0.25+MAX(MIN(E26-500000000,4500000000),0)*0.3+MAX(E26-5000000000,0)*0.35)</f>
        <v>3529371.5625</v>
      </c>
    </row>
    <row r="27" customFormat="false" ht="15" hidden="false" customHeight="false" outlineLevel="0" collapsed="false">
      <c r="B27" s="14" t="s">
        <v>32</v>
      </c>
      <c r="C27" s="15" t="n">
        <f aca="false">$C$9+F26</f>
        <v>123529371.5625</v>
      </c>
      <c r="D27" s="15" t="n">
        <f aca="false">MIN(C27*$C$10,6000000)</f>
        <v>6000000</v>
      </c>
      <c r="E27" s="15" t="n">
        <f aca="false">MAX(C27-D27-$C$17-$C$11-$C$12,0)</f>
        <v>63529371.5625</v>
      </c>
      <c r="F27" s="15" t="n">
        <f aca="false">IF(E27&lt;=0,0,MIN(E27,60000000)*0.05+MAX(MIN(E27-60000000,190000000),0)*0.15+MAX(MIN(E27-250000000,250000000),0)*0.25+MAX(MIN(E27-500000000,4500000000),0)*0.3+MAX(E27-5000000000,0)*0.35)</f>
        <v>3529405.734375</v>
      </c>
    </row>
    <row r="28" customFormat="false" ht="15" hidden="false" customHeight="false" outlineLevel="0" collapsed="false">
      <c r="B28" s="16" t="s">
        <v>33</v>
      </c>
      <c r="C28" s="17" t="n">
        <f aca="false">$C$9+F27</f>
        <v>123529405.734375</v>
      </c>
      <c r="D28" s="17" t="n">
        <f aca="false">MIN(C28*$C$10,6000000)</f>
        <v>6000000</v>
      </c>
      <c r="E28" s="17" t="n">
        <f aca="false">MAX(C28-D28-$C$17-$C$11-$C$12,0)</f>
        <v>63529405.734375</v>
      </c>
      <c r="F28" s="17" t="n">
        <f aca="false">IF(E28&lt;=0,0,MIN(E28,60000000)*0.05+MAX(MIN(E28-60000000,190000000),0)*0.15+MAX(MIN(E28-250000000,250000000),0)*0.25+MAX(MIN(E28-500000000,4500000000),0)*0.3+MAX(E28-5000000000,0)*0.35)</f>
        <v>3529410.86015625</v>
      </c>
    </row>
    <row r="29" customFormat="false" ht="15" hidden="false" customHeight="false" outlineLevel="0" collapsed="false">
      <c r="B29" s="14" t="s">
        <v>34</v>
      </c>
      <c r="C29" s="15" t="n">
        <f aca="false">$C$9+F28</f>
        <v>123529410.860156</v>
      </c>
      <c r="D29" s="15" t="n">
        <f aca="false">MIN(C29*$C$10,6000000)</f>
        <v>6000000</v>
      </c>
      <c r="E29" s="15" t="n">
        <f aca="false">MAX(C29-D29-$C$17-$C$11-$C$12,0)</f>
        <v>63529410.8601563</v>
      </c>
      <c r="F29" s="15" t="n">
        <f aca="false">IF(E29&lt;=0,0,MIN(E29,60000000)*0.05+MAX(MIN(E29-60000000,190000000),0)*0.15+MAX(MIN(E29-250000000,250000000),0)*0.25+MAX(MIN(E29-500000000,4500000000),0)*0.3+MAX(E29-5000000000,0)*0.35)</f>
        <v>3529411.62902344</v>
      </c>
    </row>
    <row r="30" customFormat="false" ht="15" hidden="false" customHeight="false" outlineLevel="0" collapsed="false">
      <c r="B30" s="16" t="s">
        <v>35</v>
      </c>
      <c r="C30" s="17" t="n">
        <f aca="false">$C$9+F29</f>
        <v>123529411.629023</v>
      </c>
      <c r="D30" s="17" t="n">
        <f aca="false">MIN(C30*$C$10,6000000)</f>
        <v>6000000</v>
      </c>
      <c r="E30" s="17" t="n">
        <f aca="false">MAX(C30-D30-$C$17-$C$11-$C$12,0)</f>
        <v>63529411.6290234</v>
      </c>
      <c r="F30" s="17" t="n">
        <f aca="false">IF(E30&lt;=0,0,MIN(E30,60000000)*0.05+MAX(MIN(E30-60000000,190000000),0)*0.15+MAX(MIN(E30-250000000,250000000),0)*0.25+MAX(MIN(E30-500000000,4500000000),0)*0.3+MAX(E30-5000000000,0)*0.35)</f>
        <v>3529411.74435352</v>
      </c>
    </row>
    <row r="31" customFormat="false" ht="15" hidden="false" customHeight="false" outlineLevel="0" collapsed="false">
      <c r="B31" s="14" t="s">
        <v>36</v>
      </c>
      <c r="C31" s="15" t="n">
        <f aca="false">$C$9+F30</f>
        <v>123529411.744354</v>
      </c>
      <c r="D31" s="15" t="n">
        <f aca="false">MIN(C31*$C$10,6000000)</f>
        <v>6000000</v>
      </c>
      <c r="E31" s="15" t="n">
        <f aca="false">MAX(C31-D31-$C$17-$C$11-$C$12,0)</f>
        <v>63529411.7443535</v>
      </c>
      <c r="F31" s="15" t="n">
        <f aca="false">IF(E31&lt;=0,0,MIN(E31,60000000)*0.05+MAX(MIN(E31-60000000,190000000),0)*0.15+MAX(MIN(E31-250000000,250000000),0)*0.25+MAX(MIN(E31-500000000,4500000000),0)*0.3+MAX(E31-5000000000,0)*0.35)</f>
        <v>3529411.76165303</v>
      </c>
    </row>
    <row r="32" customFormat="false" ht="15" hidden="false" customHeight="false" outlineLevel="0" collapsed="false">
      <c r="B32" s="16" t="s">
        <v>37</v>
      </c>
      <c r="C32" s="17" t="n">
        <f aca="false">$C$9+F31</f>
        <v>123529411.761653</v>
      </c>
      <c r="D32" s="17" t="n">
        <f aca="false">MIN(C32*$C$10,6000000)</f>
        <v>6000000</v>
      </c>
      <c r="E32" s="17" t="n">
        <f aca="false">MAX(C32-D32-$C$17-$C$11-$C$12,0)</f>
        <v>63529411.761653</v>
      </c>
      <c r="F32" s="17" t="n">
        <f aca="false">IF(E32&lt;=0,0,MIN(E32,60000000)*0.05+MAX(MIN(E32-60000000,190000000),0)*0.15+MAX(MIN(E32-250000000,250000000),0)*0.25+MAX(MIN(E32-500000000,4500000000),0)*0.3+MAX(E32-5000000000,0)*0.35)</f>
        <v>3529411.76424795</v>
      </c>
    </row>
    <row r="34" customFormat="false" ht="25.5" hidden="false" customHeight="true" outlineLevel="0" collapsed="false">
      <c r="B34" s="3" t="s">
        <v>38</v>
      </c>
      <c r="C34" s="3"/>
      <c r="D34" s="3"/>
    </row>
    <row r="35" customFormat="false" ht="16.15" hidden="false" customHeight="false" outlineLevel="0" collapsed="false">
      <c r="B35" s="18" t="s">
        <v>39</v>
      </c>
    </row>
    <row r="36" customFormat="false" ht="15" hidden="false" customHeight="false" outlineLevel="0" collapsed="false">
      <c r="B36" s="9" t="s">
        <v>40</v>
      </c>
      <c r="C36" s="10" t="n">
        <f aca="false">C32</f>
        <v>123529411.761653</v>
      </c>
    </row>
    <row r="37" customFormat="false" ht="15" hidden="false" customHeight="false" outlineLevel="0" collapsed="false">
      <c r="B37" s="9" t="s">
        <v>41</v>
      </c>
      <c r="C37" s="10" t="n">
        <f aca="false">C17</f>
        <v>54000000</v>
      </c>
    </row>
    <row r="38" customFormat="false" ht="15" hidden="false" customHeight="false" outlineLevel="0" collapsed="false">
      <c r="B38" s="9" t="s">
        <v>42</v>
      </c>
      <c r="C38" s="10" t="n">
        <f aca="false">D32</f>
        <v>6000000</v>
      </c>
    </row>
    <row r="39" customFormat="false" ht="15" hidden="false" customHeight="false" outlineLevel="0" collapsed="false">
      <c r="B39" s="9" t="s">
        <v>43</v>
      </c>
      <c r="C39" s="10" t="n">
        <f aca="false">C11</f>
        <v>0</v>
      </c>
    </row>
    <row r="40" customFormat="false" ht="15" hidden="false" customHeight="false" outlineLevel="0" collapsed="false">
      <c r="B40" s="9" t="s">
        <v>44</v>
      </c>
      <c r="C40" s="10" t="n">
        <f aca="false">C12</f>
        <v>0</v>
      </c>
    </row>
    <row r="41" customFormat="false" ht="15" hidden="false" customHeight="false" outlineLevel="0" collapsed="false">
      <c r="B41" s="9" t="s">
        <v>45</v>
      </c>
      <c r="C41" s="10" t="n">
        <f aca="false">E32</f>
        <v>63529411.761653</v>
      </c>
    </row>
    <row r="43" customFormat="false" ht="16.15" hidden="false" customHeight="false" outlineLevel="0" collapsed="false">
      <c r="B43" s="18" t="s">
        <v>46</v>
      </c>
    </row>
    <row r="44" customFormat="false" ht="15" hidden="false" customHeight="false" outlineLevel="0" collapsed="false">
      <c r="B44" s="9" t="s">
        <v>47</v>
      </c>
      <c r="C44" s="10" t="n">
        <f aca="false">F32</f>
        <v>3529411.76424795</v>
      </c>
    </row>
    <row r="45" customFormat="false" ht="15" hidden="false" customHeight="false" outlineLevel="0" collapsed="false">
      <c r="B45" s="9" t="s">
        <v>48</v>
      </c>
      <c r="C45" s="19" t="n">
        <f aca="false">IF(C32&gt;0,F32/C32,0)</f>
        <v>0.0285714285684276</v>
      </c>
    </row>
    <row r="46" customFormat="false" ht="15" hidden="false" customHeight="false" outlineLevel="0" collapsed="false">
      <c r="B46" s="20" t="s">
        <v>49</v>
      </c>
      <c r="C46" s="12" t="n">
        <f aca="false">C32-F32</f>
        <v>119999999.997405</v>
      </c>
    </row>
    <row r="48" customFormat="false" ht="15" hidden="false" customHeight="false" outlineLevel="0" collapsed="false">
      <c r="B48" s="9" t="s">
        <v>50</v>
      </c>
      <c r="C48" s="10" t="n">
        <f aca="false">C32/12</f>
        <v>10294117.6468044</v>
      </c>
    </row>
    <row r="49" customFormat="false" ht="15" hidden="false" customHeight="false" outlineLevel="0" collapsed="false">
      <c r="B49" s="9" t="s">
        <v>51</v>
      </c>
      <c r="C49" s="10" t="n">
        <f aca="false">F32/12</f>
        <v>294117.647020663</v>
      </c>
    </row>
    <row r="50" customFormat="false" ht="15" hidden="false" customHeight="false" outlineLevel="0" collapsed="false">
      <c r="B50" s="20" t="s">
        <v>52</v>
      </c>
      <c r="C50" s="12" t="n">
        <f aca="false">(C32-F32)/12</f>
        <v>9999999.99978376</v>
      </c>
    </row>
    <row r="52" customFormat="false" ht="15" hidden="false" customHeight="false" outlineLevel="0" collapsed="false">
      <c r="B52" s="21" t="s">
        <v>53</v>
      </c>
      <c r="C52" s="22" t="n">
        <f aca="false">C32+F32</f>
        <v>127058823.525901</v>
      </c>
    </row>
    <row r="53" customFormat="false" ht="15" hidden="false" customHeight="false" outlineLevel="0" collapsed="false">
      <c r="B53" s="21" t="s">
        <v>54</v>
      </c>
      <c r="C53" s="22" t="n">
        <f aca="false">(C32+F32)/12</f>
        <v>10588235.2938251</v>
      </c>
    </row>
    <row r="55" customFormat="false" ht="15" hidden="false" customHeight="false" outlineLevel="0" collapsed="false">
      <c r="B55" s="9" t="s">
        <v>55</v>
      </c>
      <c r="C55" s="23" t="str">
        <f aca="false">IF(ABS(C46-C9)&lt;=1,"✓ COCOK","✗ TIDAK COCOK - Selisih: "&amp;TEXT(ABS(C46-C9),"#,##0"))</f>
        <v>✓ COCOK</v>
      </c>
    </row>
  </sheetData>
  <mergeCells count="4">
    <mergeCell ref="B5:C5"/>
    <mergeCell ref="B14:C14"/>
    <mergeCell ref="B19:F19"/>
    <mergeCell ref="B34:D34"/>
  </mergeCells>
  <dataValidations count="2">
    <dataValidation allowBlank="false" error="Pilih dari daftar yang tersedia" errorStyle="stop" errorTitle="Input Tidak Valid" operator="between" prompt="Pilih: TK,K" promptTitle="Pilihan" showDropDown="false" showErrorMessage="false" showInputMessage="false" sqref="C7" type="list">
      <formula1>"TK,K"</formula1>
      <formula2>0</formula2>
    </dataValidation>
    <dataValidation allowBlank="false" error="Pilih dari daftar yang tersedia" errorStyle="stop" errorTitle="Input Tidak Valid" operator="between" prompt="Pilih: 0,1,2,3" promptTitle="Pilihan" showDropDown="false" showErrorMessage="false" showInputMessage="false" sqref="C8" type="list">
      <formula1>"0,1,2,3"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2"/>
    <col collapsed="false" customWidth="true" hidden="false" outlineLevel="0" max="3" min="3" style="0" width="30"/>
    <col collapsed="false" customWidth="true" hidden="false" outlineLevel="0" max="5" min="5" style="0" width="35"/>
    <col collapsed="false" customWidth="true" hidden="false" outlineLevel="0" max="6" min="6" style="0" width="18"/>
  </cols>
  <sheetData>
    <row r="2" customFormat="false" ht="34.5" hidden="false" customHeight="true" outlineLevel="0" collapsed="false">
      <c r="B2" s="1" t="s">
        <v>56</v>
      </c>
    </row>
    <row r="4" customFormat="false" ht="15" hidden="false" customHeight="false" outlineLevel="0" collapsed="false">
      <c r="B4" s="3" t="s">
        <v>57</v>
      </c>
      <c r="C4" s="3"/>
      <c r="E4" s="3" t="s">
        <v>58</v>
      </c>
      <c r="F4" s="3"/>
    </row>
    <row r="5" customFormat="false" ht="15" hidden="false" customHeight="false" outlineLevel="0" collapsed="false">
      <c r="B5" s="13" t="s">
        <v>59</v>
      </c>
      <c r="C5" s="13" t="s">
        <v>60</v>
      </c>
      <c r="E5" s="13" t="s">
        <v>61</v>
      </c>
      <c r="F5" s="13" t="s">
        <v>62</v>
      </c>
    </row>
    <row r="6" customFormat="false" ht="15" hidden="false" customHeight="false" outlineLevel="0" collapsed="false">
      <c r="B6" s="24" t="s">
        <v>63</v>
      </c>
      <c r="C6" s="15" t="n">
        <v>54000000</v>
      </c>
      <c r="E6" s="25" t="s">
        <v>64</v>
      </c>
      <c r="F6" s="26" t="s">
        <v>65</v>
      </c>
    </row>
    <row r="7" customFormat="false" ht="15" hidden="false" customHeight="false" outlineLevel="0" collapsed="false">
      <c r="B7" s="27" t="s">
        <v>66</v>
      </c>
      <c r="C7" s="17" t="n">
        <v>58500000</v>
      </c>
      <c r="E7" s="28" t="s">
        <v>67</v>
      </c>
      <c r="F7" s="29" t="s">
        <v>68</v>
      </c>
    </row>
    <row r="8" customFormat="false" ht="15" hidden="false" customHeight="false" outlineLevel="0" collapsed="false">
      <c r="B8" s="24" t="s">
        <v>69</v>
      </c>
      <c r="C8" s="15" t="n">
        <v>63000000</v>
      </c>
      <c r="E8" s="25" t="s">
        <v>70</v>
      </c>
      <c r="F8" s="26" t="s">
        <v>71</v>
      </c>
    </row>
    <row r="9" customFormat="false" ht="15" hidden="false" customHeight="false" outlineLevel="0" collapsed="false">
      <c r="B9" s="27" t="s">
        <v>72</v>
      </c>
      <c r="C9" s="17" t="n">
        <v>67500000</v>
      </c>
      <c r="E9" s="28" t="s">
        <v>73</v>
      </c>
      <c r="F9" s="29" t="s">
        <v>74</v>
      </c>
    </row>
    <row r="10" customFormat="false" ht="15" hidden="false" customHeight="false" outlineLevel="0" collapsed="false">
      <c r="B10" s="24" t="s">
        <v>75</v>
      </c>
      <c r="C10" s="15" t="n">
        <v>58500000</v>
      </c>
      <c r="E10" s="25" t="s">
        <v>76</v>
      </c>
      <c r="F10" s="26" t="s">
        <v>77</v>
      </c>
    </row>
    <row r="11" customFormat="false" ht="15" hidden="false" customHeight="false" outlineLevel="0" collapsed="false">
      <c r="B11" s="27" t="s">
        <v>78</v>
      </c>
      <c r="C11" s="17" t="n">
        <v>63000000</v>
      </c>
    </row>
    <row r="12" customFormat="false" ht="15" hidden="false" customHeight="false" outlineLevel="0" collapsed="false">
      <c r="B12" s="24" t="s">
        <v>79</v>
      </c>
      <c r="C12" s="15" t="n">
        <v>67500000</v>
      </c>
    </row>
    <row r="13" customFormat="false" ht="15" hidden="false" customHeight="false" outlineLevel="0" collapsed="false">
      <c r="B13" s="27" t="s">
        <v>80</v>
      </c>
      <c r="C13" s="17" t="n">
        <v>72000000</v>
      </c>
      <c r="E13" s="30" t="s">
        <v>81</v>
      </c>
    </row>
    <row r="14" customFormat="false" ht="15" hidden="false" customHeight="false" outlineLevel="0" collapsed="false">
      <c r="E14" s="31" t="s">
        <v>82</v>
      </c>
    </row>
    <row r="15" customFormat="false" ht="15" hidden="false" customHeight="false" outlineLevel="0" collapsed="false">
      <c r="B15" s="30" t="s">
        <v>83</v>
      </c>
      <c r="E15" s="31" t="s">
        <v>84</v>
      </c>
    </row>
    <row r="16" customFormat="false" ht="15" hidden="false" customHeight="false" outlineLevel="0" collapsed="false">
      <c r="B16" s="31" t="s">
        <v>85</v>
      </c>
      <c r="E16" s="31" t="s">
        <v>86</v>
      </c>
    </row>
    <row r="17" customFormat="false" ht="15" hidden="false" customHeight="false" outlineLevel="0" collapsed="false">
      <c r="B17" s="31" t="s">
        <v>87</v>
      </c>
      <c r="E17" s="31" t="s">
        <v>88</v>
      </c>
    </row>
    <row r="18" customFormat="false" ht="15" hidden="false" customHeight="false" outlineLevel="0" collapsed="false">
      <c r="B18" s="31" t="s">
        <v>89</v>
      </c>
      <c r="E18" s="31" t="s">
        <v>90</v>
      </c>
    </row>
  </sheetData>
  <mergeCells count="2">
    <mergeCell ref="B4:C4"/>
    <mergeCell ref="E4:F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2026-03-31T06:13:08Z</dcterms:created>
  <dc:creator>openpyxl</dc:creator>
  <dc:description/>
  <dc:language>en-US</dc:language>
  <cp:lastModifiedBy/>
  <dcterms:modified xsi:type="dcterms:W3CDTF">2026-03-31T06:13:08Z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